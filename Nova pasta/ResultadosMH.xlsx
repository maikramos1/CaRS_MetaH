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8_{9AFDDC0C-075F-4DD2-8854-866D601521D3}" xr6:coauthVersionLast="47" xr6:coauthVersionMax="47" xr10:uidLastSave="{00000000-0000-0000-0000-000000000000}"/>
  <bookViews>
    <workbookView xWindow="-120" yWindow="-120" windowWidth="29040" windowHeight="15720" activeTab="2" xr2:uid="{0D0A5551-702D-44D3-B190-DFBBCEC3C16D}"/>
  </bookViews>
  <sheets>
    <sheet name="Tabela 1" sheetId="1" r:id="rId1"/>
    <sheet name="Tabela 2" sheetId="2" r:id="rId2"/>
    <sheet name="Tabela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" l="1"/>
  <c r="H11" i="3"/>
  <c r="G11" i="3"/>
  <c r="F11" i="3"/>
  <c r="E11" i="3"/>
  <c r="D11" i="3"/>
  <c r="H4" i="2"/>
  <c r="H10" i="2" s="1"/>
  <c r="G4" i="2"/>
  <c r="G10" i="2" s="1"/>
  <c r="F9" i="2"/>
  <c r="F8" i="2"/>
  <c r="F7" i="2"/>
  <c r="F6" i="2"/>
  <c r="F5" i="2"/>
  <c r="F4" i="2"/>
  <c r="E4" i="2"/>
  <c r="E10" i="2"/>
  <c r="D4" i="2"/>
  <c r="D10" i="2" s="1"/>
  <c r="F10" i="2" l="1"/>
</calcChain>
</file>

<file path=xl/sharedStrings.xml><?xml version="1.0" encoding="utf-8"?>
<sst xmlns="http://schemas.openxmlformats.org/spreadsheetml/2006/main" count="66" uniqueCount="47">
  <si>
    <t>Parâmetro</t>
  </si>
  <si>
    <t>Intervalo</t>
  </si>
  <si>
    <t>Melhor Valor</t>
  </si>
  <si>
    <t>Temperatura Inicial</t>
  </si>
  <si>
    <t>Temperatura de Congelamento</t>
  </si>
  <si>
    <t>Taxa de Resfriamento</t>
  </si>
  <si>
    <t>SAMAX</t>
  </si>
  <si>
    <t>Tabela 1 – Calibração de parâmetros via iRace</t>
  </si>
  <si>
    <t>[100.0, 5000.0]</t>
  </si>
  <si>
    <t>[0.001, 1.0]</t>
  </si>
  <si>
    <t>[0.80, 0.999]</t>
  </si>
  <si>
    <t>[10, 500]</t>
  </si>
  <si>
    <t xml:space="preserve"> 0.0351</t>
  </si>
  <si>
    <t>0.8001</t>
  </si>
  <si>
    <t>Tabela 2 – Resultados obtidos pelo método heurístico</t>
  </si>
  <si>
    <t>Instância</t>
  </si>
  <si>
    <t>Melhor FO</t>
  </si>
  <si>
    <t>FO Média</t>
  </si>
  <si>
    <t>Desvio (%)</t>
  </si>
  <si>
    <t>Tempo Médio (seg.)</t>
  </si>
  <si>
    <t>T. Melhor (seg.)</t>
  </si>
  <si>
    <t>Mauritania10n</t>
  </si>
  <si>
    <t>Tamanho</t>
  </si>
  <si>
    <t>P</t>
  </si>
  <si>
    <t>M</t>
  </si>
  <si>
    <t>Bolivia10n</t>
  </si>
  <si>
    <t>Peru13n</t>
  </si>
  <si>
    <t>AfricaSul11n</t>
  </si>
  <si>
    <t>G</t>
  </si>
  <si>
    <t>Média</t>
  </si>
  <si>
    <t>Russia17n</t>
  </si>
  <si>
    <t>Brasil16n</t>
  </si>
  <si>
    <t>-</t>
  </si>
  <si>
    <t>Tabela 3 – Comparação dos resultados</t>
  </si>
  <si>
    <t xml:space="preserve">CPLEX </t>
  </si>
  <si>
    <t xml:space="preserve">GUROBI </t>
  </si>
  <si>
    <t>META-HEURÍSTICA</t>
  </si>
  <si>
    <t>FO_C</t>
  </si>
  <si>
    <t>GAP_C</t>
  </si>
  <si>
    <t>TEMPO_C</t>
  </si>
  <si>
    <t>FO_G</t>
  </si>
  <si>
    <t>GAP_G</t>
  </si>
  <si>
    <t>TEMPO_G</t>
  </si>
  <si>
    <t>Dif_G</t>
  </si>
  <si>
    <t>FO_SA</t>
  </si>
  <si>
    <t xml:space="preserve"> TEMPO_SA</t>
  </si>
  <si>
    <t>Dif_C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</si>
</sst>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5" fillId="0" borderId="0" xfId="0" applyFont="1"/>
    <xf numFmtId="4" fontId="5" fillId="0" borderId="0" xfId="0" applyNumberFormat="1" applyFont="1"/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CF2DCA-3041-4DA0-86C5-B57B428E9268}" name="Tabela4" displayName="Tabela4" ref="B3:D7" totalsRowShown="0" headerRowDxfId="24" dataDxfId="23">
  <autoFilter ref="B3:D7" xr:uid="{A7CF2DCA-3041-4DA0-86C5-B57B428E9268}"/>
  <tableColumns count="3">
    <tableColumn id="1" xr3:uid="{DA564EA2-68E1-4F84-8B8B-29BD14984ACA}" name="Parâmetro" dataDxfId="27"/>
    <tableColumn id="2" xr3:uid="{D119B28A-3083-4AAE-A987-405BC87C8921}" name="Intervalo" dataDxfId="26"/>
    <tableColumn id="3" xr3:uid="{9FEDAE09-B549-4E53-91C0-A8528C05A9F7}" name="Melhor Valor" dataDxfId="2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7C39BB-9D3D-4290-8F8F-7B495A0D8BA4}" name="Tabela46" displayName="Tabela46" ref="B3:H10" totalsRowShown="0" headerRowDxfId="17" dataDxfId="16">
  <autoFilter ref="B3:H10" xr:uid="{A7CF2DCA-3041-4DA0-86C5-B57B428E9268}"/>
  <tableColumns count="7">
    <tableColumn id="6" xr3:uid="{04FCBB2C-E9BB-483E-B1B9-194C8A48A21B}" name="Tamanho" dataDxfId="22"/>
    <tableColumn id="1" xr3:uid="{518AEB57-2F40-459A-BD9F-4DACCD0A1AB7}" name="Instância" dataDxfId="21"/>
    <tableColumn id="2" xr3:uid="{FB562980-C2D9-451C-A589-B9B30B4C04D8}" name="Melhor FO" dataDxfId="15">
      <calculatedColumnFormula>MIN(612,612,612)</calculatedColumnFormula>
    </tableColumn>
    <tableColumn id="7" xr3:uid="{DB234681-18C8-44DC-B17C-19B00851AD3D}" name="FO Média" dataDxfId="14">
      <calculatedColumnFormula>AVERAGE(612)</calculatedColumnFormula>
    </tableColumn>
    <tableColumn id="3" xr3:uid="{0AC84AAA-CC47-4489-8BA1-0F4C601723F5}" name="Desvio (%)" dataDxfId="20"/>
    <tableColumn id="4" xr3:uid="{CD2EA7DC-DB79-4772-A8A4-7909BECE47B2}" name="Tempo Médio (seg.)" dataDxfId="19"/>
    <tableColumn id="5" xr3:uid="{9165F4EF-C25A-46F4-AF47-956BE5529B4D}" name="T. Melhor (seg.)" dataDxfId="1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22C5BE-76C5-470F-A2DA-8DA066B61C36}" name="Tabela467" displayName="Tabela467" ref="B4:M11" totalsRowShown="0" headerRowDxfId="0" dataDxfId="13">
  <autoFilter ref="B4:M11" xr:uid="{A7CF2DCA-3041-4DA0-86C5-B57B428E9268}"/>
  <tableColumns count="12">
    <tableColumn id="6" xr3:uid="{A070A1A9-D533-4A66-990F-B69B53D614F9}" name="Tamanho" dataDxfId="12"/>
    <tableColumn id="1" xr3:uid="{E3D9B8EC-7218-4E06-91A8-5227091F7595}" name="Instância" dataDxfId="11"/>
    <tableColumn id="2" xr3:uid="{6556E923-7C2D-4A41-8C7C-64538C29751B}" name="FO_C" dataDxfId="10">
      <calculatedColumnFormula>MIN(612,612,612)</calculatedColumnFormula>
    </tableColumn>
    <tableColumn id="10" xr3:uid="{D692001B-1E03-4322-BF6D-0B60512F3655}" name="GAP_C" dataDxfId="9"/>
    <tableColumn id="9" xr3:uid="{6C28CF11-2EAC-4066-9945-4823D9ED2991}" name="TEMPO_C" dataDxfId="8"/>
    <tableColumn id="7" xr3:uid="{27935057-3A4A-4CC7-96F6-569A3828BDB9}" name="FO_G" dataDxfId="7">
      <calculatedColumnFormula>AVERAGE(612)</calculatedColumnFormula>
    </tableColumn>
    <tableColumn id="3" xr3:uid="{CABF40DC-6F28-48A8-B895-7A251399819C}" name="GAP_G" dataDxfId="6"/>
    <tableColumn id="4" xr3:uid="{4FB3268B-411D-4CD4-9C2E-2C50A670AAB9}" name="TEMPO_G" dataDxfId="5"/>
    <tableColumn id="5" xr3:uid="{67C66119-9C7C-44CF-AC96-6FC7F62E6031}" name="FO_SA" dataDxfId="4"/>
    <tableColumn id="11" xr3:uid="{9056155A-2E1C-41AD-9A82-E673465A2763}" name=" TEMPO_SA" dataDxfId="3"/>
    <tableColumn id="12" xr3:uid="{8F273479-7711-45EA-8D36-3F2C04DFD66F}" name="Dif_C" dataDxfId="2"/>
    <tableColumn id="13" xr3:uid="{E3975CAF-77D9-42CF-8B29-C50F2FA99797}" name="Dif_G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D8FD-8624-4548-9F8B-5D500A420DFD}">
  <dimension ref="B2:D23"/>
  <sheetViews>
    <sheetView workbookViewId="0">
      <selection activeCell="C10" sqref="C10"/>
    </sheetView>
  </sheetViews>
  <sheetFormatPr defaultRowHeight="15.75" x14ac:dyDescent="0.25"/>
  <cols>
    <col min="1" max="1" width="9.140625" style="2"/>
    <col min="2" max="2" width="28.28515625" style="2" bestFit="1" customWidth="1"/>
    <col min="3" max="3" width="15.140625" style="2" bestFit="1" customWidth="1"/>
    <col min="4" max="4" width="18.7109375" style="2" bestFit="1" customWidth="1"/>
    <col min="5" max="16384" width="9.140625" style="2"/>
  </cols>
  <sheetData>
    <row r="2" spans="2:4" s="2" customFormat="1" x14ac:dyDescent="0.25">
      <c r="B2" s="1" t="s">
        <v>7</v>
      </c>
      <c r="C2" s="1"/>
      <c r="D2" s="1"/>
    </row>
    <row r="3" spans="2:4" s="2" customFormat="1" x14ac:dyDescent="0.25">
      <c r="B3" s="3" t="s">
        <v>0</v>
      </c>
      <c r="C3" s="3" t="s">
        <v>1</v>
      </c>
      <c r="D3" s="3" t="s">
        <v>2</v>
      </c>
    </row>
    <row r="4" spans="2:4" s="2" customFormat="1" x14ac:dyDescent="0.25">
      <c r="B4" s="4" t="s">
        <v>3</v>
      </c>
      <c r="C4" s="4" t="s">
        <v>8</v>
      </c>
      <c r="D4" s="5">
        <v>3565.2896000000001</v>
      </c>
    </row>
    <row r="5" spans="2:4" s="2" customFormat="1" x14ac:dyDescent="0.25">
      <c r="B5" s="4" t="s">
        <v>4</v>
      </c>
      <c r="C5" s="4" t="s">
        <v>9</v>
      </c>
      <c r="D5" s="4" t="s">
        <v>12</v>
      </c>
    </row>
    <row r="6" spans="2:4" s="2" customFormat="1" x14ac:dyDescent="0.25">
      <c r="B6" s="4" t="s">
        <v>5</v>
      </c>
      <c r="C6" s="4" t="s">
        <v>10</v>
      </c>
      <c r="D6" s="4" t="s">
        <v>13</v>
      </c>
    </row>
    <row r="7" spans="2:4" s="2" customFormat="1" x14ac:dyDescent="0.25">
      <c r="B7" s="4" t="s">
        <v>6</v>
      </c>
      <c r="C7" s="4" t="s">
        <v>11</v>
      </c>
      <c r="D7" s="4">
        <v>133</v>
      </c>
    </row>
    <row r="9" spans="2:4" s="2" customFormat="1" x14ac:dyDescent="0.25">
      <c r="D9" s="6"/>
    </row>
    <row r="10" spans="2:4" s="2" customFormat="1" x14ac:dyDescent="0.25">
      <c r="D10" s="6"/>
    </row>
    <row r="20" s="2" customFormat="1" x14ac:dyDescent="0.25"/>
    <row r="21" s="2" customFormat="1" x14ac:dyDescent="0.25"/>
    <row r="22" s="2" customFormat="1" x14ac:dyDescent="0.25"/>
    <row r="23" s="2" customFormat="1" x14ac:dyDescent="0.25"/>
  </sheetData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BBAE-CF3D-484D-AB0A-8B8A09F9C2D0}">
  <dimension ref="B2:H10"/>
  <sheetViews>
    <sheetView workbookViewId="0">
      <selection activeCell="H5" sqref="H5"/>
    </sheetView>
  </sheetViews>
  <sheetFormatPr defaultRowHeight="15.75" x14ac:dyDescent="0.25"/>
  <cols>
    <col min="1" max="1" width="9.140625" style="2"/>
    <col min="2" max="2" width="14.42578125" style="2" bestFit="1" customWidth="1"/>
    <col min="3" max="3" width="14.28515625" style="2" bestFit="1" customWidth="1"/>
    <col min="4" max="4" width="16.28515625" style="2" customWidth="1"/>
    <col min="5" max="5" width="15.42578125" style="2" bestFit="1" customWidth="1"/>
    <col min="6" max="6" width="16.5703125" style="2" bestFit="1" customWidth="1"/>
    <col min="7" max="7" width="25.140625" style="2" bestFit="1" customWidth="1"/>
    <col min="8" max="8" width="21.28515625" style="2" bestFit="1" customWidth="1"/>
    <col min="9" max="16384" width="9.140625" style="2"/>
  </cols>
  <sheetData>
    <row r="2" spans="2:8" x14ac:dyDescent="0.25">
      <c r="B2" s="1" t="s">
        <v>14</v>
      </c>
      <c r="C2" s="1"/>
      <c r="D2" s="1"/>
      <c r="E2" s="1"/>
      <c r="F2" s="1"/>
      <c r="G2" s="1"/>
      <c r="H2" s="1"/>
    </row>
    <row r="3" spans="2:8" x14ac:dyDescent="0.25">
      <c r="B3" s="3" t="s">
        <v>22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</row>
    <row r="4" spans="2:8" x14ac:dyDescent="0.25">
      <c r="B4" s="7" t="s">
        <v>23</v>
      </c>
      <c r="C4" s="4" t="s">
        <v>21</v>
      </c>
      <c r="D4" s="4">
        <f t="shared" ref="D4" si="0">MIN(612,612,612)</f>
        <v>612</v>
      </c>
      <c r="E4" s="4">
        <f t="shared" ref="E4:E10" si="1">AVERAGE(612)</f>
        <v>612</v>
      </c>
      <c r="F4" s="5">
        <f>(ABS(Tabela46[[#This Row],[FO Média]]-Tabela46[[#This Row],[Melhor FO]])/Tabela46[[#This Row],[FO Média]])*100</f>
        <v>0</v>
      </c>
      <c r="G4" s="8">
        <f>AVERAGE(300.001)</f>
        <v>300.00099999999998</v>
      </c>
      <c r="H4" s="8">
        <f>AVERAGE(0.002)</f>
        <v>2E-3</v>
      </c>
    </row>
    <row r="5" spans="2:8" x14ac:dyDescent="0.25">
      <c r="B5" s="9" t="s">
        <v>23</v>
      </c>
      <c r="C5" s="4" t="s">
        <v>25</v>
      </c>
      <c r="D5" s="4"/>
      <c r="E5" s="4"/>
      <c r="F5" s="5" t="e">
        <f>(ABS(Tabela46[[#This Row],[FO Média]]-Tabela46[[#This Row],[Melhor FO]])/Tabela46[[#This Row],[FO Média]])*100</f>
        <v>#DIV/0!</v>
      </c>
      <c r="G5" s="9"/>
      <c r="H5" s="9"/>
    </row>
    <row r="6" spans="2:8" x14ac:dyDescent="0.25">
      <c r="B6" s="9" t="s">
        <v>24</v>
      </c>
      <c r="C6" s="4" t="s">
        <v>27</v>
      </c>
      <c r="D6" s="4"/>
      <c r="E6" s="4"/>
      <c r="F6" s="5" t="e">
        <f>(ABS(Tabela46[[#This Row],[FO Média]]-Tabela46[[#This Row],[Melhor FO]])/Tabela46[[#This Row],[FO Média]])*100</f>
        <v>#DIV/0!</v>
      </c>
      <c r="G6" s="9"/>
      <c r="H6" s="9"/>
    </row>
    <row r="7" spans="2:8" x14ac:dyDescent="0.25">
      <c r="B7" s="10" t="s">
        <v>24</v>
      </c>
      <c r="C7" s="4" t="s">
        <v>26</v>
      </c>
      <c r="D7" s="4"/>
      <c r="E7" s="4"/>
      <c r="F7" s="5" t="e">
        <f>(ABS(Tabela46[[#This Row],[FO Média]]-Tabela46[[#This Row],[Melhor FO]])/Tabela46[[#This Row],[FO Média]])*100</f>
        <v>#DIV/0!</v>
      </c>
      <c r="G7" s="10"/>
      <c r="H7" s="10"/>
    </row>
    <row r="8" spans="2:8" x14ac:dyDescent="0.25">
      <c r="B8" s="10" t="s">
        <v>28</v>
      </c>
      <c r="C8" s="11" t="s">
        <v>30</v>
      </c>
      <c r="D8" s="11"/>
      <c r="E8" s="11"/>
      <c r="F8" s="5" t="e">
        <f>(ABS(Tabela46[[#This Row],[FO Média]]-Tabela46[[#This Row],[Melhor FO]])/Tabela46[[#This Row],[FO Média]])*100</f>
        <v>#DIV/0!</v>
      </c>
      <c r="G8" s="10"/>
      <c r="H8" s="10"/>
    </row>
    <row r="9" spans="2:8" x14ac:dyDescent="0.25">
      <c r="B9" s="10" t="s">
        <v>28</v>
      </c>
      <c r="C9" s="11" t="s">
        <v>31</v>
      </c>
      <c r="D9" s="11"/>
      <c r="E9" s="11"/>
      <c r="F9" s="5" t="e">
        <f>(ABS(Tabela46[[#This Row],[FO Média]]-Tabela46[[#This Row],[Melhor FO]])/Tabela46[[#This Row],[FO Média]])*100</f>
        <v>#DIV/0!</v>
      </c>
      <c r="G9" s="10"/>
      <c r="H9" s="10"/>
    </row>
    <row r="10" spans="2:8" x14ac:dyDescent="0.25">
      <c r="B10" s="12" t="s">
        <v>32</v>
      </c>
      <c r="C10" s="13" t="s">
        <v>29</v>
      </c>
      <c r="D10" s="11">
        <f>AVERAGE(D4:D9)</f>
        <v>612</v>
      </c>
      <c r="E10" s="11">
        <f t="shared" si="1"/>
        <v>612</v>
      </c>
      <c r="F10" s="11" t="e">
        <f>AVERAGE(F4:F9)</f>
        <v>#DIV/0!</v>
      </c>
      <c r="G10" s="11">
        <f>AVERAGE(G4:G9)</f>
        <v>300.00099999999998</v>
      </c>
      <c r="H10" s="11">
        <f>AVERAGE(H4:H9)</f>
        <v>2E-3</v>
      </c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3601-4AE7-4D62-B028-7AF3A56F2E5B}">
  <dimension ref="B2:N31"/>
  <sheetViews>
    <sheetView tabSelected="1" workbookViewId="0">
      <selection activeCell="D18" sqref="D18"/>
    </sheetView>
  </sheetViews>
  <sheetFormatPr defaultRowHeight="15.75" x14ac:dyDescent="0.25"/>
  <cols>
    <col min="1" max="1" width="9.140625" style="2"/>
    <col min="2" max="2" width="14.42578125" style="2" bestFit="1" customWidth="1"/>
    <col min="3" max="3" width="14.28515625" style="2" bestFit="1" customWidth="1"/>
    <col min="4" max="4" width="11.28515625" style="2" bestFit="1" customWidth="1"/>
    <col min="5" max="5" width="12.85546875" style="2" bestFit="1" customWidth="1"/>
    <col min="6" max="6" width="16.42578125" style="2" bestFit="1" customWidth="1"/>
    <col min="7" max="7" width="11.42578125" style="2" bestFit="1" customWidth="1"/>
    <col min="8" max="8" width="13" style="2" bestFit="1" customWidth="1"/>
    <col min="9" max="9" width="16.5703125" style="2" bestFit="1" customWidth="1"/>
    <col min="10" max="10" width="22.85546875" style="2" bestFit="1" customWidth="1"/>
    <col min="11" max="11" width="18.42578125" style="2" bestFit="1" customWidth="1"/>
    <col min="12" max="12" width="11.28515625" style="2" bestFit="1" customWidth="1"/>
    <col min="13" max="13" width="11.42578125" style="2" bestFit="1" customWidth="1"/>
    <col min="14" max="16384" width="9.140625" style="2"/>
  </cols>
  <sheetData>
    <row r="2" spans="2:13" x14ac:dyDescent="0.25">
      <c r="B2" s="1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x14ac:dyDescent="0.25">
      <c r="B3" s="17"/>
      <c r="C3" s="18"/>
      <c r="D3" s="19" t="s">
        <v>34</v>
      </c>
      <c r="E3" s="19"/>
      <c r="F3" s="19"/>
      <c r="G3" s="19" t="s">
        <v>35</v>
      </c>
      <c r="H3" s="19"/>
      <c r="I3" s="19"/>
      <c r="J3" s="19" t="s">
        <v>36</v>
      </c>
      <c r="K3" s="19"/>
      <c r="L3" s="19"/>
      <c r="M3" s="19"/>
    </row>
    <row r="4" spans="2:13" x14ac:dyDescent="0.25">
      <c r="B4" s="4" t="s">
        <v>22</v>
      </c>
      <c r="C4" s="4" t="s">
        <v>15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44</v>
      </c>
      <c r="K4" s="4" t="s">
        <v>45</v>
      </c>
      <c r="L4" s="4" t="s">
        <v>46</v>
      </c>
      <c r="M4" s="4" t="s">
        <v>43</v>
      </c>
    </row>
    <row r="5" spans="2:13" x14ac:dyDescent="0.25">
      <c r="B5" s="9" t="s">
        <v>23</v>
      </c>
      <c r="C5" s="4" t="s">
        <v>21</v>
      </c>
      <c r="D5" s="4">
        <v>612</v>
      </c>
      <c r="E5" s="4">
        <v>0</v>
      </c>
      <c r="F5" s="4">
        <v>0.94</v>
      </c>
      <c r="G5" s="4">
        <v>612</v>
      </c>
      <c r="H5" s="4">
        <v>0</v>
      </c>
      <c r="I5" s="4">
        <v>1.1399999999999999</v>
      </c>
      <c r="J5" s="14"/>
      <c r="K5" s="9"/>
      <c r="L5" s="9"/>
      <c r="M5" s="9"/>
    </row>
    <row r="6" spans="2:13" x14ac:dyDescent="0.25">
      <c r="B6" s="9" t="s">
        <v>23</v>
      </c>
      <c r="C6" s="4" t="s">
        <v>25</v>
      </c>
      <c r="D6" s="4">
        <v>825</v>
      </c>
      <c r="E6" s="4">
        <v>0</v>
      </c>
      <c r="F6" s="4">
        <v>1.56</v>
      </c>
      <c r="G6" s="4">
        <v>825</v>
      </c>
      <c r="H6" s="4">
        <v>0</v>
      </c>
      <c r="I6" s="4">
        <v>1.7</v>
      </c>
      <c r="J6" s="9"/>
      <c r="K6" s="9"/>
      <c r="L6" s="9"/>
      <c r="M6" s="9"/>
    </row>
    <row r="7" spans="2:13" x14ac:dyDescent="0.25">
      <c r="B7" s="9" t="s">
        <v>24</v>
      </c>
      <c r="C7" s="4" t="s">
        <v>27</v>
      </c>
      <c r="D7" s="4">
        <v>784</v>
      </c>
      <c r="E7" s="4">
        <v>0</v>
      </c>
      <c r="F7" s="4">
        <v>11.73</v>
      </c>
      <c r="G7" s="4">
        <v>784</v>
      </c>
      <c r="H7" s="4">
        <v>0</v>
      </c>
      <c r="I7" s="4">
        <v>80.45</v>
      </c>
      <c r="J7" s="9"/>
      <c r="K7" s="9"/>
      <c r="L7" s="9"/>
      <c r="M7" s="9"/>
    </row>
    <row r="8" spans="2:13" x14ac:dyDescent="0.25">
      <c r="B8" s="9" t="s">
        <v>24</v>
      </c>
      <c r="C8" s="4" t="s">
        <v>26</v>
      </c>
      <c r="D8" s="4">
        <v>707</v>
      </c>
      <c r="E8" s="4">
        <v>0</v>
      </c>
      <c r="F8" s="4">
        <v>0.86</v>
      </c>
      <c r="G8" s="4">
        <v>707</v>
      </c>
      <c r="H8" s="4">
        <v>0</v>
      </c>
      <c r="I8" s="4">
        <v>0.63</v>
      </c>
      <c r="J8" s="9"/>
      <c r="K8" s="9"/>
      <c r="L8" s="9"/>
      <c r="M8" s="9"/>
    </row>
    <row r="9" spans="2:13" x14ac:dyDescent="0.25">
      <c r="B9" s="9" t="s">
        <v>28</v>
      </c>
      <c r="C9" s="4" t="s">
        <v>30</v>
      </c>
      <c r="D9" s="4">
        <v>1104</v>
      </c>
      <c r="E9" s="4">
        <v>15.43</v>
      </c>
      <c r="F9" s="4">
        <v>3601.7</v>
      </c>
      <c r="G9" s="4">
        <v>1104</v>
      </c>
      <c r="H9" s="4">
        <v>14.86</v>
      </c>
      <c r="I9" s="4">
        <v>3600.08</v>
      </c>
      <c r="J9" s="9"/>
      <c r="K9" s="9"/>
      <c r="L9" s="9"/>
      <c r="M9" s="9"/>
    </row>
    <row r="10" spans="2:13" x14ac:dyDescent="0.25">
      <c r="B10" s="9" t="s">
        <v>28</v>
      </c>
      <c r="C10" s="4" t="s">
        <v>31</v>
      </c>
      <c r="D10" s="4">
        <v>1282</v>
      </c>
      <c r="E10" s="4">
        <v>12.44</v>
      </c>
      <c r="F10" s="4">
        <v>3604.53</v>
      </c>
      <c r="G10" s="4">
        <v>1266</v>
      </c>
      <c r="H10" s="4">
        <v>6.71</v>
      </c>
      <c r="I10" s="4">
        <v>3600.05</v>
      </c>
      <c r="J10" s="9"/>
      <c r="K10" s="9"/>
      <c r="L10" s="9"/>
      <c r="M10" s="9"/>
    </row>
    <row r="11" spans="2:13" x14ac:dyDescent="0.25">
      <c r="B11" s="15" t="s">
        <v>32</v>
      </c>
      <c r="C11" s="16" t="s">
        <v>29</v>
      </c>
      <c r="D11" s="20">
        <f>AVERAGE(D5:D10)</f>
        <v>885.66666666666663</v>
      </c>
      <c r="E11" s="20">
        <f>AVERAGE(E5:E10)</f>
        <v>4.6449999999999996</v>
      </c>
      <c r="F11" s="20">
        <f>AVERAGE(F5:F10)</f>
        <v>1203.5533333333333</v>
      </c>
      <c r="G11" s="4">
        <f>AVERAGE(G5:G10)</f>
        <v>883</v>
      </c>
      <c r="H11" s="20">
        <f>AVERAGE(H5:H10)</f>
        <v>3.5950000000000002</v>
      </c>
      <c r="I11" s="20">
        <f>AVERAGE(I5:I10)</f>
        <v>1214.0083333333334</v>
      </c>
      <c r="J11" s="4"/>
      <c r="K11" s="9"/>
      <c r="L11" s="9"/>
      <c r="M11" s="9"/>
    </row>
    <row r="18" spans="4:14" x14ac:dyDescent="0.25">
      <c r="D18" s="21"/>
      <c r="E18" s="21"/>
    </row>
    <row r="22" spans="4:14" x14ac:dyDescent="0.25"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4:14" x14ac:dyDescent="0.25"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4:14" x14ac:dyDescent="0.25"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4:14" x14ac:dyDescent="0.25"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4:14" x14ac:dyDescent="0.25"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4:14" x14ac:dyDescent="0.25"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4:14" x14ac:dyDescent="0.25">
      <c r="E28" s="21"/>
      <c r="F28" s="21"/>
      <c r="G28" s="21"/>
      <c r="H28" s="21"/>
      <c r="I28" s="21"/>
      <c r="J28" s="22"/>
      <c r="K28" s="21"/>
      <c r="L28" s="21"/>
      <c r="M28" s="21"/>
      <c r="N28" s="22"/>
    </row>
    <row r="29" spans="4:14" x14ac:dyDescent="0.25">
      <c r="E29" s="21"/>
      <c r="F29" s="21"/>
      <c r="G29" s="21"/>
      <c r="H29" s="21"/>
      <c r="I29" s="21"/>
      <c r="J29" s="22"/>
      <c r="K29" s="21"/>
      <c r="L29" s="21"/>
      <c r="M29" s="21"/>
      <c r="N29" s="22"/>
    </row>
    <row r="30" spans="4:14" x14ac:dyDescent="0.25"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4:14" x14ac:dyDescent="0.25">
      <c r="E31" s="21"/>
      <c r="F31" s="21"/>
      <c r="G31" s="21"/>
      <c r="H31" s="21"/>
      <c r="I31" s="21"/>
      <c r="J31" s="21"/>
      <c r="K31" s="21"/>
      <c r="L31" s="21"/>
      <c r="M31" s="21"/>
      <c r="N31" s="21"/>
    </row>
  </sheetData>
  <mergeCells count="5">
    <mergeCell ref="D3:F3"/>
    <mergeCell ref="G3:I3"/>
    <mergeCell ref="J3:M3"/>
    <mergeCell ref="B2:M2"/>
    <mergeCell ref="B3:C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D5:D11 G5:G11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1</vt:lpstr>
      <vt:lpstr>Tabela 2</vt:lpstr>
      <vt:lpstr>Tabela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 Ramos | OPTSOLV</dc:creator>
  <cp:lastModifiedBy>Maik Ramos | OPTSOLV</cp:lastModifiedBy>
  <dcterms:created xsi:type="dcterms:W3CDTF">2026-02-10T10:25:54Z</dcterms:created>
  <dcterms:modified xsi:type="dcterms:W3CDTF">2026-02-10T11:46:50Z</dcterms:modified>
</cp:coreProperties>
</file>